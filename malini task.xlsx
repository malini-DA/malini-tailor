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a4164c4f33d67c/Documents/"/>
    </mc:Choice>
  </mc:AlternateContent>
  <xr:revisionPtr revIDLastSave="228" documentId="8_{FAFA065C-95C0-4F05-A89A-C6D6AEDFE7EA}" xr6:coauthVersionLast="47" xr6:coauthVersionMax="47" xr10:uidLastSave="{EE8CFE42-922C-4390-BA4D-86AAA27D1AB1}"/>
  <bookViews>
    <workbookView xWindow="-120" yWindow="-120" windowWidth="21840" windowHeight="13020" activeTab="3" xr2:uid="{566B69A1-C253-4D86-92C7-47385252F20A}"/>
  </bookViews>
  <sheets>
    <sheet name="TASK3" sheetId="1" r:id="rId1"/>
    <sheet name="TASK 4" sheetId="2" r:id="rId2"/>
    <sheet name="task 5" sheetId="3" r:id="rId3"/>
    <sheet name="hlookup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" i="4" l="1"/>
  <c r="B18" i="4"/>
  <c r="B17" i="4"/>
  <c r="B12" i="3"/>
  <c r="B11" i="3"/>
  <c r="B10" i="3"/>
  <c r="G3" i="1"/>
  <c r="G4" i="1"/>
  <c r="G5" i="1"/>
  <c r="G6" i="1"/>
  <c r="G2" i="1"/>
  <c r="F3" i="1"/>
  <c r="F4" i="1"/>
  <c r="F5" i="1"/>
  <c r="F6" i="1"/>
  <c r="F2" i="1"/>
</calcChain>
</file>

<file path=xl/sharedStrings.xml><?xml version="1.0" encoding="utf-8"?>
<sst xmlns="http://schemas.openxmlformats.org/spreadsheetml/2006/main" count="99" uniqueCount="76">
  <si>
    <t>roll no</t>
  </si>
  <si>
    <t>student name</t>
  </si>
  <si>
    <t>maths</t>
  </si>
  <si>
    <t>science</t>
  </si>
  <si>
    <t>english</t>
  </si>
  <si>
    <t>percentage</t>
  </si>
  <si>
    <t xml:space="preserve">aakash </t>
  </si>
  <si>
    <t>bhavya</t>
  </si>
  <si>
    <t>chirag</t>
  </si>
  <si>
    <t>divya</t>
  </si>
  <si>
    <t>esha</t>
  </si>
  <si>
    <t>total</t>
  </si>
  <si>
    <t>TASK 3</t>
  </si>
  <si>
    <t>Employee name</t>
  </si>
  <si>
    <t>Department</t>
  </si>
  <si>
    <t>salary</t>
  </si>
  <si>
    <t>Suresh</t>
  </si>
  <si>
    <t>Meena</t>
  </si>
  <si>
    <t>Karan</t>
  </si>
  <si>
    <t>Ritu</t>
  </si>
  <si>
    <t>Aman</t>
  </si>
  <si>
    <t>Neel</t>
  </si>
  <si>
    <t>HR</t>
  </si>
  <si>
    <t>IT</t>
  </si>
  <si>
    <t>sales summary- Aggregation func.</t>
  </si>
  <si>
    <t>invoice no</t>
  </si>
  <si>
    <t>date</t>
  </si>
  <si>
    <t>sales amount</t>
  </si>
  <si>
    <t>INV001</t>
  </si>
  <si>
    <t>INV002</t>
  </si>
  <si>
    <t>INV003</t>
  </si>
  <si>
    <t>INV004</t>
  </si>
  <si>
    <t>INV005</t>
  </si>
  <si>
    <t>TOTAL    92000</t>
  </si>
  <si>
    <t>AVERAGE SALES 18400</t>
  </si>
  <si>
    <t>HIGHEST SALES 32000</t>
  </si>
  <si>
    <t>LOWEST SALES 8000</t>
  </si>
  <si>
    <t>total salary per dept</t>
  </si>
  <si>
    <t>FINANCE</t>
  </si>
  <si>
    <t xml:space="preserve">HR </t>
  </si>
  <si>
    <t>EmployeeID</t>
  </si>
  <si>
    <t>Name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</si>
  <si>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</si>
  <si>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</si>
  <si>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</si>
  <si>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</si>
  <si>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</si>
  <si>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</si>
  <si>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</si>
  <si>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</si>
  <si>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</si>
  <si>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Delhi</t>
  </si>
  <si>
    <t>E103</t>
  </si>
  <si>
    <t>Rohit Verma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</si>
  <si>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</si>
  <si>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</si>
  <si>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</si>
  <si>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</si>
  <si>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</si>
  <si>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</si>
  <si>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</si>
  <si>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</si>
  <si>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</si>
  <si>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</si>
  <si>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</si>
  <si>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</si>
  <si>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</si>
  <si>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</si>
  <si>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</si>
  <si>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</si>
  <si>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Bonus %</t>
  </si>
  <si>
    <t>department</t>
  </si>
  <si>
    <t>bonus</t>
  </si>
  <si>
    <t>EMPLOYEE</t>
  </si>
  <si>
    <t>bonus amt</t>
  </si>
  <si>
    <t>jkj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</si>
</sst>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F0F6FC"/>
      <name val="Segoe UI"/>
      <family val="2"/>
    </font>
    <font>
      <sz val="12"/>
      <color rgb="FFF0F6FC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rgb="FF0D1117"/>
        <bgColor indexed="64"/>
      </patternFill>
    </fill>
    <fill>
      <patternFill patternType="solid">
        <fgColor rgb="FF151B2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9" fontId="0" fillId="0" borderId="0" xfId="1" applyFont="1"/>
    <xf numFmtId="0" fontId="0" fillId="0" borderId="1" xfId="0" applyBorder="1"/>
    <xf numFmtId="9" fontId="0" fillId="0" borderId="2" xfId="0" applyNumberFormat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1" fillId="2" borderId="1" xfId="2" applyBorder="1" applyAlignment="1"/>
    <xf numFmtId="0" fontId="1" fillId="2" borderId="1" xfId="2" applyBorder="1" applyAlignment="1">
      <alignment horizontal="center"/>
    </xf>
    <xf numFmtId="0" fontId="1" fillId="2" borderId="3" xfId="2" applyBorder="1" applyAlignment="1">
      <alignment horizontal="center"/>
    </xf>
    <xf numFmtId="14" fontId="0" fillId="0" borderId="1" xfId="0" applyNumberFormat="1" applyBorder="1"/>
    <xf numFmtId="0" fontId="0" fillId="0" borderId="0" xfId="0" applyAlignment="1">
      <alignment horizontal="center"/>
    </xf>
    <xf numFmtId="1" fontId="0" fillId="0" borderId="1" xfId="0" applyNumberFormat="1" applyBorder="1" applyAlignment="1">
      <alignment horizontal="center"/>
    </xf>
    <xf numFmtId="0" fontId="3" fillId="3" borderId="5" xfId="0" applyFont="1" applyFill="1" applyBorder="1" applyAlignment="1">
      <alignment horizontal="right" vertical="center" wrapText="1" indent="1"/>
    </xf>
    <xf numFmtId="0" fontId="3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right" vertical="center" wrapText="1" indent="1"/>
    </xf>
    <xf numFmtId="0" fontId="4" fillId="3" borderId="5" xfId="0" applyFont="1" applyFill="1" applyBorder="1" applyAlignment="1">
      <alignment horizontal="left" vertical="center" wrapText="1" indent="1"/>
    </xf>
    <xf numFmtId="0" fontId="4" fillId="4" borderId="5" xfId="0" applyFont="1" applyFill="1" applyBorder="1" applyAlignment="1">
      <alignment horizontal="right" vertical="center" wrapText="1" indent="1"/>
    </xf>
    <xf numFmtId="0" fontId="4" fillId="4" borderId="5" xfId="0" applyFont="1" applyFill="1" applyBorder="1" applyAlignment="1">
      <alignment horizontal="left" vertical="center" wrapText="1" indent="1"/>
    </xf>
    <xf numFmtId="9" fontId="4" fillId="3" borderId="5" xfId="0" applyNumberFormat="1" applyFont="1" applyFill="1" applyBorder="1" applyAlignment="1">
      <alignment horizontal="right" vertical="center" wrapText="1" indent="1"/>
    </xf>
  </cellXfs>
  <cellStyles count="3">
    <cellStyle name="60% - Accent4" xfId="2" builtinId="44"/>
    <cellStyle name="Normal" xfId="0" builtinId="0"/>
    <cellStyle name="Per cent" xfId="1" builtinId="5"/>
  </cellStyles>
  <dxfs count="6">
    <dxf>
      <numFmt numFmtId="13" formatCode="0%"/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416D3-DF24-417C-BDD4-EF5A26013DA1}" name="Table1" displayName="Table1" ref="G1:G6" totalsRowShown="0" headerRowDxfId="5" dataDxfId="3" headerRowBorderDxfId="4" tableBorderDxfId="2" totalsRowBorderDxfId="1" headerRowCellStyle="60% - Accent4">
  <autoFilter ref="G1:G6" xr:uid="{0DF416D3-DF24-417C-BDD4-EF5A26013DA1}"/>
  <tableColumns count="1">
    <tableColumn id="1" xr3:uid="{3379EBC7-00B0-4D5E-96BD-8DC933C1EAAC}" name="percentage" dataDxfId="0">
      <calculatedColumnFormula>F2/300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0A9BD-16AB-48F1-9C7A-348A9863D909}">
  <dimension ref="A1:K7"/>
  <sheetViews>
    <sheetView workbookViewId="0">
      <selection activeCell="I3" sqref="I3"/>
    </sheetView>
  </sheetViews>
  <sheetFormatPr defaultRowHeight="15" x14ac:dyDescent="0.25"/>
  <cols>
    <col min="2" max="2" width="13.42578125" customWidth="1"/>
    <col min="6" max="6" width="10.42578125" customWidth="1"/>
    <col min="7" max="7" width="13.28515625" customWidth="1"/>
  </cols>
  <sheetData>
    <row r="1" spans="1:11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11</v>
      </c>
      <c r="G1" s="8" t="s">
        <v>5</v>
      </c>
    </row>
    <row r="2" spans="1:11" x14ac:dyDescent="0.25">
      <c r="A2" s="3">
        <v>1</v>
      </c>
      <c r="B2" s="1" t="s">
        <v>6</v>
      </c>
      <c r="C2" s="1">
        <v>78</v>
      </c>
      <c r="D2" s="1">
        <v>82</v>
      </c>
      <c r="E2" s="1">
        <v>74</v>
      </c>
      <c r="F2" s="1">
        <f>SUM(C2:E2)</f>
        <v>234</v>
      </c>
      <c r="G2" s="4">
        <f>F2/300</f>
        <v>0.78</v>
      </c>
    </row>
    <row r="3" spans="1:11" x14ac:dyDescent="0.25">
      <c r="A3" s="3">
        <v>2</v>
      </c>
      <c r="B3" s="1" t="s">
        <v>7</v>
      </c>
      <c r="C3" s="1">
        <v>65</v>
      </c>
      <c r="D3" s="1">
        <v>70</v>
      </c>
      <c r="E3" s="1">
        <v>68</v>
      </c>
      <c r="F3" s="1">
        <f t="shared" ref="F3:F6" si="0">SUM(C3:E3)</f>
        <v>203</v>
      </c>
      <c r="G3" s="4">
        <f t="shared" ref="G3:G6" si="1">F3/300</f>
        <v>0.67666666666666664</v>
      </c>
      <c r="I3" t="s">
        <v>12</v>
      </c>
    </row>
    <row r="4" spans="1:11" x14ac:dyDescent="0.25">
      <c r="A4" s="3">
        <v>3</v>
      </c>
      <c r="B4" s="1" t="s">
        <v>8</v>
      </c>
      <c r="C4" s="1">
        <v>90</v>
      </c>
      <c r="D4" s="1">
        <v>88</v>
      </c>
      <c r="E4" s="1">
        <v>92</v>
      </c>
      <c r="F4" s="1">
        <f t="shared" si="0"/>
        <v>270</v>
      </c>
      <c r="G4" s="4">
        <f t="shared" si="1"/>
        <v>0.9</v>
      </c>
    </row>
    <row r="5" spans="1:11" x14ac:dyDescent="0.25">
      <c r="A5" s="3">
        <v>4</v>
      </c>
      <c r="B5" s="1" t="s">
        <v>9</v>
      </c>
      <c r="C5" s="1">
        <v>35</v>
      </c>
      <c r="D5" s="1">
        <v>40</v>
      </c>
      <c r="E5" s="1">
        <v>38</v>
      </c>
      <c r="F5" s="1">
        <f t="shared" si="0"/>
        <v>113</v>
      </c>
      <c r="G5" s="4">
        <f t="shared" si="1"/>
        <v>0.37666666666666665</v>
      </c>
    </row>
    <row r="6" spans="1:11" x14ac:dyDescent="0.25">
      <c r="A6" s="3">
        <v>5</v>
      </c>
      <c r="B6" s="1" t="s">
        <v>10</v>
      </c>
      <c r="C6" s="1">
        <v>55</v>
      </c>
      <c r="D6" s="1">
        <v>60</v>
      </c>
      <c r="E6" s="1">
        <v>58</v>
      </c>
      <c r="F6" s="1">
        <f t="shared" si="0"/>
        <v>173</v>
      </c>
      <c r="G6" s="5">
        <f t="shared" si="1"/>
        <v>0.57666666666666666</v>
      </c>
    </row>
    <row r="7" spans="1:11" x14ac:dyDescent="0.25">
      <c r="K7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47BA1-B7FA-4B00-862C-74C425E3781E}">
  <dimension ref="A2:D13"/>
  <sheetViews>
    <sheetView workbookViewId="0">
      <selection activeCell="E13" sqref="E13"/>
    </sheetView>
  </sheetViews>
  <sheetFormatPr defaultRowHeight="15" x14ac:dyDescent="0.25"/>
  <cols>
    <col min="1" max="1" width="13.7109375" customWidth="1"/>
    <col min="2" max="2" width="11.5703125" customWidth="1"/>
    <col min="3" max="3" width="14.140625" customWidth="1"/>
  </cols>
  <sheetData>
    <row r="2" spans="1:4" x14ac:dyDescent="0.25">
      <c r="A2" t="s">
        <v>24</v>
      </c>
    </row>
    <row r="4" spans="1:4" x14ac:dyDescent="0.25">
      <c r="A4" s="3" t="s">
        <v>25</v>
      </c>
      <c r="B4" s="3" t="s">
        <v>26</v>
      </c>
      <c r="C4" s="3" t="s">
        <v>27</v>
      </c>
      <c r="D4" s="3"/>
    </row>
    <row r="5" spans="1:4" x14ac:dyDescent="0.25">
      <c r="A5" s="3" t="s">
        <v>28</v>
      </c>
      <c r="B5" s="9">
        <v>45292</v>
      </c>
      <c r="C5" s="3">
        <v>12000</v>
      </c>
      <c r="D5" s="3"/>
    </row>
    <row r="6" spans="1:4" x14ac:dyDescent="0.25">
      <c r="A6" s="3" t="s">
        <v>29</v>
      </c>
      <c r="B6" s="9">
        <v>45294</v>
      </c>
      <c r="C6" s="3">
        <v>25000</v>
      </c>
      <c r="D6" s="3"/>
    </row>
    <row r="7" spans="1:4" x14ac:dyDescent="0.25">
      <c r="A7" s="3" t="s">
        <v>30</v>
      </c>
      <c r="B7" s="9">
        <v>45296</v>
      </c>
      <c r="C7" s="3">
        <v>8000</v>
      </c>
      <c r="D7" s="3"/>
    </row>
    <row r="8" spans="1:4" x14ac:dyDescent="0.25">
      <c r="A8" s="3" t="s">
        <v>31</v>
      </c>
      <c r="B8" s="9">
        <v>45299</v>
      </c>
      <c r="C8" s="3">
        <v>32000</v>
      </c>
      <c r="D8" s="3"/>
    </row>
    <row r="9" spans="1:4" x14ac:dyDescent="0.25">
      <c r="A9" s="3" t="s">
        <v>32</v>
      </c>
      <c r="B9" s="9">
        <v>45301</v>
      </c>
      <c r="C9" s="3">
        <v>15000</v>
      </c>
      <c r="D9" s="3"/>
    </row>
    <row r="10" spans="1:4" x14ac:dyDescent="0.25">
      <c r="C10" t="s">
        <v>33</v>
      </c>
    </row>
    <row r="11" spans="1:4" x14ac:dyDescent="0.25">
      <c r="C11" t="s">
        <v>34</v>
      </c>
    </row>
    <row r="12" spans="1:4" x14ac:dyDescent="0.25">
      <c r="C12" t="s">
        <v>35</v>
      </c>
    </row>
    <row r="13" spans="1:4" x14ac:dyDescent="0.25">
      <c r="C13" t="s">
        <v>36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FAB33-B42E-4374-B327-28D84F410DFD}">
  <dimension ref="A1:C12"/>
  <sheetViews>
    <sheetView workbookViewId="0">
      <selection activeCell="C16" sqref="C16"/>
    </sheetView>
  </sheetViews>
  <sheetFormatPr defaultRowHeight="15" x14ac:dyDescent="0.25"/>
  <cols>
    <col min="1" max="1" width="14.140625" customWidth="1"/>
    <col min="2" max="2" width="11.28515625" bestFit="1" customWidth="1"/>
    <col min="3" max="3" width="11" customWidth="1"/>
  </cols>
  <sheetData>
    <row r="1" spans="1:3" x14ac:dyDescent="0.25">
      <c r="A1" s="1" t="s">
        <v>13</v>
      </c>
      <c r="B1" s="1" t="s">
        <v>14</v>
      </c>
      <c r="C1" s="1" t="s">
        <v>15</v>
      </c>
    </row>
    <row r="2" spans="1:3" x14ac:dyDescent="0.25">
      <c r="A2" s="1" t="s">
        <v>16</v>
      </c>
      <c r="B2" s="1" t="s">
        <v>39</v>
      </c>
      <c r="C2" s="11">
        <v>28000</v>
      </c>
    </row>
    <row r="3" spans="1:3" x14ac:dyDescent="0.25">
      <c r="A3" s="1" t="s">
        <v>17</v>
      </c>
      <c r="B3" s="1" t="s">
        <v>23</v>
      </c>
      <c r="C3" s="11">
        <v>45000</v>
      </c>
    </row>
    <row r="4" spans="1:3" x14ac:dyDescent="0.25">
      <c r="A4" s="1" t="s">
        <v>18</v>
      </c>
      <c r="B4" s="1" t="s">
        <v>23</v>
      </c>
      <c r="C4" s="11">
        <v>50000</v>
      </c>
    </row>
    <row r="5" spans="1:3" x14ac:dyDescent="0.25">
      <c r="A5" s="1" t="s">
        <v>19</v>
      </c>
      <c r="B5" s="1" t="s">
        <v>38</v>
      </c>
      <c r="C5" s="11">
        <v>42000</v>
      </c>
    </row>
    <row r="6" spans="1:3" x14ac:dyDescent="0.25">
      <c r="A6" s="1" t="s">
        <v>20</v>
      </c>
      <c r="B6" s="1" t="s">
        <v>39</v>
      </c>
      <c r="C6" s="11">
        <v>30000</v>
      </c>
    </row>
    <row r="7" spans="1:3" x14ac:dyDescent="0.25">
      <c r="A7" s="1" t="s">
        <v>21</v>
      </c>
      <c r="B7" s="1" t="s">
        <v>38</v>
      </c>
      <c r="C7" s="11">
        <v>38000</v>
      </c>
    </row>
    <row r="9" spans="1:3" x14ac:dyDescent="0.25">
      <c r="A9" s="10" t="s">
        <v>37</v>
      </c>
    </row>
    <row r="10" spans="1:3" x14ac:dyDescent="0.25">
      <c r="A10" s="1" t="s">
        <v>22</v>
      </c>
      <c r="B10">
        <f>SUMIF(B2:B7,"HR",C2:C7)</f>
        <v>0</v>
      </c>
    </row>
    <row r="11" spans="1:3" x14ac:dyDescent="0.25">
      <c r="A11" s="1" t="s">
        <v>23</v>
      </c>
      <c r="B11">
        <f>SUMIF(B2:B7,"IT",C2:C7)</f>
        <v>95000</v>
      </c>
    </row>
    <row r="12" spans="1:3" x14ac:dyDescent="0.25">
      <c r="A12" s="1" t="s">
        <v>38</v>
      </c>
      <c r="B12">
        <f>SUMIF(B2:B7,"FINANCE",C2:C7)</f>
        <v>80000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B2A04-DAF4-4743-8043-AF89E90AD7BF}">
  <dimension ref="A1:F21"/>
  <sheetViews>
    <sheetView tabSelected="1" workbookViewId="0">
      <selection activeCell="J3" sqref="J3"/>
    </sheetView>
  </sheetViews>
  <sheetFormatPr defaultRowHeight="15" x14ac:dyDescent="0.25"/>
  <cols>
    <col min="1" max="1" width="17.85546875" customWidth="1"/>
    <col min="2" max="2" width="10.28515625" customWidth="1"/>
    <col min="3" max="3" width="14.42578125" customWidth="1"/>
    <col min="4" max="4" width="10.85546875" customWidth="1"/>
    <col min="5" max="5" width="12.140625" customWidth="1"/>
    <col min="6" max="6" width="19.7109375" customWidth="1"/>
  </cols>
  <sheetData>
    <row r="1" spans="1:6" ht="35.25" thickBot="1" x14ac:dyDescent="0.3">
      <c r="A1" s="12" t="s">
        <v>40</v>
      </c>
      <c r="B1" s="13" t="s">
        <v>41</v>
      </c>
      <c r="C1" s="13" t="s">
        <v>14</v>
      </c>
      <c r="D1" s="13" t="s">
        <v>42</v>
      </c>
      <c r="E1" s="12" t="s">
        <v>43</v>
      </c>
      <c r="F1" s="12" t="s">
        <v>44</v>
      </c>
    </row>
    <row r="2" spans="1:6" ht="52.5" thickBot="1" x14ac:dyDescent="0.3">
      <c r="A2" s="14" t="s">
        <v>45</v>
      </c>
      <c r="B2" s="15" t="s">
        <v>46</v>
      </c>
      <c r="C2" s="15" t="s">
        <v>47</v>
      </c>
      <c r="D2" s="15" t="s">
        <v>48</v>
      </c>
      <c r="E2" s="14">
        <v>45000</v>
      </c>
      <c r="F2" s="14">
        <v>2019</v>
      </c>
    </row>
    <row r="3" spans="1:6" ht="52.5" thickBot="1" x14ac:dyDescent="0.3">
      <c r="A3" s="16" t="s">
        <v>49</v>
      </c>
      <c r="B3" s="17" t="s">
        <v>50</v>
      </c>
      <c r="C3" s="17" t="s">
        <v>22</v>
      </c>
      <c r="D3" s="17" t="s">
        <v>51</v>
      </c>
      <c r="E3" s="16">
        <v>52000</v>
      </c>
      <c r="F3" s="16">
        <v>2018</v>
      </c>
    </row>
    <row r="4" spans="1:6" ht="35.25" thickBot="1" x14ac:dyDescent="0.3">
      <c r="A4" s="14" t="s">
        <v>52</v>
      </c>
      <c r="B4" s="15" t="s">
        <v>53</v>
      </c>
      <c r="C4" s="15" t="s">
        <v>23</v>
      </c>
      <c r="D4" s="15" t="s">
        <v>54</v>
      </c>
      <c r="E4" s="14">
        <v>65000</v>
      </c>
      <c r="F4" s="14">
        <v>2020</v>
      </c>
    </row>
    <row r="5" spans="1:6" ht="35.25" thickBot="1" x14ac:dyDescent="0.3">
      <c r="A5" s="16" t="s">
        <v>55</v>
      </c>
      <c r="B5" s="17" t="s">
        <v>56</v>
      </c>
      <c r="C5" s="17" t="s">
        <v>57</v>
      </c>
      <c r="D5" s="17" t="s">
        <v>58</v>
      </c>
      <c r="E5" s="16">
        <v>58000</v>
      </c>
      <c r="F5" s="16">
        <v>2017</v>
      </c>
    </row>
    <row r="6" spans="1:6" ht="35.25" thickBot="1" x14ac:dyDescent="0.3">
      <c r="A6" s="14" t="s">
        <v>59</v>
      </c>
      <c r="B6" s="15" t="s">
        <v>60</v>
      </c>
      <c r="C6" s="15" t="s">
        <v>61</v>
      </c>
      <c r="D6" s="15" t="s">
        <v>48</v>
      </c>
      <c r="E6" s="14">
        <v>48000</v>
      </c>
      <c r="F6" s="14">
        <v>2021</v>
      </c>
    </row>
    <row r="7" spans="1:6" ht="35.25" thickBot="1" x14ac:dyDescent="0.3">
      <c r="A7" s="16" t="s">
        <v>62</v>
      </c>
      <c r="B7" s="17" t="s">
        <v>63</v>
      </c>
      <c r="C7" s="17" t="s">
        <v>23</v>
      </c>
      <c r="D7" s="17" t="s">
        <v>64</v>
      </c>
      <c r="E7" s="16">
        <v>62000</v>
      </c>
      <c r="F7" s="16">
        <v>2019</v>
      </c>
    </row>
    <row r="8" spans="1:6" ht="35.25" thickBot="1" x14ac:dyDescent="0.3">
      <c r="A8" s="14" t="s">
        <v>65</v>
      </c>
      <c r="B8" s="15" t="s">
        <v>66</v>
      </c>
      <c r="C8" s="15" t="s">
        <v>47</v>
      </c>
      <c r="D8" s="15" t="s">
        <v>67</v>
      </c>
      <c r="E8" s="14">
        <v>47000</v>
      </c>
      <c r="F8" s="14">
        <v>2020</v>
      </c>
    </row>
    <row r="9" spans="1:6" ht="35.25" thickBot="1" x14ac:dyDescent="0.3">
      <c r="A9" s="16" t="s">
        <v>68</v>
      </c>
      <c r="B9" s="17" t="s">
        <v>69</v>
      </c>
      <c r="C9" s="17" t="s">
        <v>22</v>
      </c>
      <c r="D9" s="17" t="s">
        <v>54</v>
      </c>
      <c r="E9" s="16">
        <v>54000</v>
      </c>
      <c r="F9" s="16">
        <v>2016</v>
      </c>
    </row>
    <row r="11" spans="1:6" ht="15.75" thickBot="1" x14ac:dyDescent="0.3"/>
    <row r="12" spans="1:6" ht="18" thickBot="1" x14ac:dyDescent="0.3">
      <c r="A12" s="13" t="s">
        <v>14</v>
      </c>
      <c r="B12" s="12" t="s">
        <v>47</v>
      </c>
      <c r="C12" s="12" t="s">
        <v>22</v>
      </c>
      <c r="D12" s="12" t="s">
        <v>23</v>
      </c>
      <c r="E12" s="12" t="s">
        <v>57</v>
      </c>
      <c r="F12" s="12" t="s">
        <v>61</v>
      </c>
    </row>
    <row r="13" spans="1:6" ht="18" thickBot="1" x14ac:dyDescent="0.3">
      <c r="A13" s="15" t="s">
        <v>70</v>
      </c>
      <c r="B13" s="18">
        <v>0.1</v>
      </c>
      <c r="C13" s="18">
        <v>0.08</v>
      </c>
      <c r="D13" s="18">
        <v>0.12</v>
      </c>
      <c r="E13" s="18">
        <v>0.15</v>
      </c>
      <c r="F13" s="18">
        <v>0.09</v>
      </c>
    </row>
    <row r="16" spans="1:6" x14ac:dyDescent="0.25">
      <c r="A16" t="s">
        <v>71</v>
      </c>
      <c r="B16" t="s">
        <v>72</v>
      </c>
    </row>
    <row r="17" spans="1:3" x14ac:dyDescent="0.25">
      <c r="A17" t="s">
        <v>22</v>
      </c>
      <c r="B17">
        <f>HLOOKUP(A17,$A$12:$F$13,2,0)</f>
        <v>0.08</v>
      </c>
    </row>
    <row r="18" spans="1:3" x14ac:dyDescent="0.25">
      <c r="A18" t="s">
        <v>23</v>
      </c>
      <c r="B18">
        <f>HLOOKUP(A18,$A$12:$F$13,2,0)</f>
        <v>0.12</v>
      </c>
    </row>
    <row r="20" spans="1:3" x14ac:dyDescent="0.25">
      <c r="A20" t="s">
        <v>73</v>
      </c>
      <c r="B20" t="s">
        <v>71</v>
      </c>
      <c r="C20" t="s">
        <v>74</v>
      </c>
    </row>
    <row r="21" spans="1:3" x14ac:dyDescent="0.25">
      <c r="A21" t="s">
        <v>55</v>
      </c>
      <c r="B21" t="s">
        <v>75</v>
      </c>
      <c r="C21" t="str">
        <f>IFERROR(VLOOKUP(A21,A1:F9,5,0)*HLOOKUP(B21,A12:F13,2,0),"invalid")</f>
        <v>invalid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TASK3</vt:lpstr>
      <vt:lpstr>TASK 4</vt:lpstr>
      <vt:lpstr>task 5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PATHANARBAAZKHAN222@GMAIL.COM</dc:creator>
  <cp:lastModifiedBy>PATHANARBAAZKHAN222@GMAIL.COM</cp:lastModifiedBy>
  <dcterms:created xsi:type="dcterms:W3CDTF">2026-06-30T08:09:06Z</dcterms:created>
  <dcterms:modified xsi:type="dcterms:W3CDTF">2026-07-02T08:02:27Z</dcterms:modified>
</cp:coreProperties>
</file>